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<sst xmlns="http://schemas.openxmlformats.org/spreadsheetml/2006/main" count="450" uniqueCount="219">
  <si>
    <t/>
  </si>
  <si>
    <t xml:space="preserve">Bill of Materials </t>
  </si>
  <si>
    <t>BOM_Acc_sensor_ZZY_2_Acc_sensor_ZZY_2_2025-10-21</t>
  </si>
  <si>
    <t>Project Title：</t>
  </si>
  <si>
    <t>Sensor_node</t>
  </si>
  <si>
    <t>Variant:</t>
  </si>
  <si>
    <t xml:space="preserve"> </t>
  </si>
  <si>
    <t>Report Time：</t>
  </si>
  <si>
    <t>2025/Oct/21 23:57:43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</si>
  <si>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</si>
  <si>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</si>
  <si>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</si>
  <si>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</si>
  <si>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</si>
  <si>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</si>
  <si>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</si>
  <si>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</si>
  <si>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</si>
  <si>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</si>
  <si>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</si>
  <si>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</si>
  <si>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2450AT18A100E</t>
  </si>
  <si>
    <t>AE1, AE2</t>
  </si>
  <si>
    <t>ANT-SMD_L3.2-W1.6</t>
  </si>
  <si>
    <t>JOHANSON(约翰逊)</t>
  </si>
  <si>
    <t>C89334</t>
  </si>
  <si>
    <t>LCSC</t>
  </si>
  <si>
    <t>100nF</t>
  </si>
  <si>
    <t>C1, C2, C5, C9, C10, C13, C26, C42, C43, C47, C48, C49, C50, C51</t>
  </si>
  <si>
    <t>C0603</t>
  </si>
  <si>
    <t>CC0603KRX7R9BB104</t>
  </si>
  <si>
    <t>YAGEO(国巨)</t>
  </si>
  <si>
    <t>C14663</t>
  </si>
  <si>
    <t>1uF</t>
  </si>
  <si>
    <t>C3, C4, C14, C15, C19, C20, C34, C35, C36, C37, C38, C39</t>
  </si>
  <si>
    <t>CL10A105KB8NNNC</t>
  </si>
  <si>
    <t>SAMSUNG(三星)</t>
  </si>
  <si>
    <t>C15849</t>
  </si>
  <si>
    <t>47uF</t>
  </si>
  <si>
    <t>C6, C7, C8, C29, C30, C31</t>
  </si>
  <si>
    <t>C0805</t>
  </si>
  <si>
    <t>CL21A476MQYNNNE</t>
  </si>
  <si>
    <t>C16780</t>
  </si>
  <si>
    <t>10uF</t>
  </si>
  <si>
    <t>C12, C27, C44, C45</t>
  </si>
  <si>
    <t>CL10A106KP8NNNC</t>
  </si>
  <si>
    <t>C19702</t>
  </si>
  <si>
    <t>10nF</t>
  </si>
  <si>
    <t>C16, C32</t>
  </si>
  <si>
    <t>0603B103K500NT</t>
  </si>
  <si>
    <t>FH(风华)</t>
  </si>
  <si>
    <t>C57112</t>
  </si>
  <si>
    <t>1pF</t>
  </si>
  <si>
    <t>C17</t>
  </si>
  <si>
    <t>L0201</t>
  </si>
  <si>
    <t>GRM0335C1H1R0BA01D</t>
  </si>
  <si>
    <t>muRata(村田)</t>
  </si>
  <si>
    <t>C85893</t>
  </si>
  <si>
    <t>20pF</t>
  </si>
  <si>
    <t>C21, C22, C40, C41</t>
  </si>
  <si>
    <t>CL10C200JB8NNNC</t>
  </si>
  <si>
    <t>C1648</t>
  </si>
  <si>
    <t>0</t>
  </si>
  <si>
    <t>C28</t>
  </si>
  <si>
    <t>C33</t>
  </si>
  <si>
    <t>C0201</t>
  </si>
  <si>
    <t>0Ω</t>
  </si>
  <si>
    <t>C46</t>
  </si>
  <si>
    <t>0603WAF0000T5E</t>
  </si>
  <si>
    <t>UNI-ROYAL(厚声)</t>
  </si>
  <si>
    <t>C21189</t>
  </si>
  <si>
    <t>B5819W-TP</t>
  </si>
  <si>
    <t>D1, D2</t>
  </si>
  <si>
    <t>SOD-123_L2.8-W1.8-LS3.7-RD</t>
  </si>
  <si>
    <t>MCC(美微科)</t>
  </si>
  <si>
    <t>C84354</t>
  </si>
  <si>
    <t>PZ254V-11-04P</t>
  </si>
  <si>
    <t>H1, H2</t>
  </si>
  <si>
    <t>HDR-TH_4P-P2.54-V-M</t>
  </si>
  <si>
    <t>XFCN(兴飞)</t>
  </si>
  <si>
    <t>C2691448</t>
  </si>
  <si>
    <t>2nH</t>
  </si>
  <si>
    <t>L1, L6</t>
  </si>
  <si>
    <t>L0603</t>
  </si>
  <si>
    <t>SDCL1608C2N0STDF</t>
  </si>
  <si>
    <t>Sunlord(顺络)</t>
  </si>
  <si>
    <t>C370234</t>
  </si>
  <si>
    <t>3.9nH</t>
  </si>
  <si>
    <t>L2, L7</t>
  </si>
  <si>
    <t>LQP03HQ3N9B02D</t>
  </si>
  <si>
    <t>C337939</t>
  </si>
  <si>
    <t>2.7nH</t>
  </si>
  <si>
    <t>L3, L8</t>
  </si>
  <si>
    <t>LQP03HQ2N7B02D</t>
  </si>
  <si>
    <t>C7216765</t>
  </si>
  <si>
    <t>L4</t>
  </si>
  <si>
    <t>Device_L</t>
  </si>
  <si>
    <t>L5</t>
  </si>
  <si>
    <t>LTST-C190KSKT</t>
  </si>
  <si>
    <t>LED1, LED2, LED3, LED4, LED5, LED6</t>
  </si>
  <si>
    <t>LED0603-RD</t>
  </si>
  <si>
    <t>LITEON(光宝)</t>
  </si>
  <si>
    <t>C125095</t>
  </si>
  <si>
    <t>AO3407A</t>
  </si>
  <si>
    <t>Q1, Q6</t>
  </si>
  <si>
    <t>SOT-23-3_L2.9-W1.6-P1.90-LS2.8-BR</t>
  </si>
  <si>
    <t>AOS</t>
  </si>
  <si>
    <t>C15155</t>
  </si>
  <si>
    <t>DW01</t>
  </si>
  <si>
    <t>Q2, Q4</t>
  </si>
  <si>
    <t>SOT-23-6_L2.9-W1.6-P0.95-LS2.8-BR</t>
  </si>
  <si>
    <t>Hottech(合科泰)</t>
  </si>
  <si>
    <t>C181096</t>
  </si>
  <si>
    <t>8205A</t>
  </si>
  <si>
    <t>Q3, Q5</t>
  </si>
  <si>
    <t>JSMSEMI(杰盛微)</t>
  </si>
  <si>
    <t>C2762931</t>
  </si>
  <si>
    <t>10kΩ</t>
  </si>
  <si>
    <t>R1, R2, R4, R7, R9, R10, R11, R27, R28, R29, R30, R31, R32, R33</t>
  </si>
  <si>
    <t>R0603</t>
  </si>
  <si>
    <t>0603WAF1002T5E</t>
  </si>
  <si>
    <t>C25804</t>
  </si>
  <si>
    <t>100Ω</t>
  </si>
  <si>
    <t>R3, R24</t>
  </si>
  <si>
    <t>0603WAF1000T5E</t>
  </si>
  <si>
    <t>C22775</t>
  </si>
  <si>
    <t>1.5kΩ</t>
  </si>
  <si>
    <t>R5, R25</t>
  </si>
  <si>
    <t>0603WAF1501T5E</t>
  </si>
  <si>
    <t>C22843</t>
  </si>
  <si>
    <t>1kΩ</t>
  </si>
  <si>
    <t>R6, R26</t>
  </si>
  <si>
    <t>0603WAF1001T5E</t>
  </si>
  <si>
    <t>C21190</t>
  </si>
  <si>
    <t>4.7kΩ</t>
  </si>
  <si>
    <t>R8, R12, R13, R34, R35, R36</t>
  </si>
  <si>
    <t>0603WAF4701T5E</t>
  </si>
  <si>
    <t>C23162</t>
  </si>
  <si>
    <t>R14, R37</t>
  </si>
  <si>
    <t>100kΩ</t>
  </si>
  <si>
    <t>R18, R19, R38, R39</t>
  </si>
  <si>
    <t>0603WAF1003T5E</t>
  </si>
  <si>
    <t>C25803</t>
  </si>
  <si>
    <t>3kΩ</t>
  </si>
  <si>
    <t>R20, R40</t>
  </si>
  <si>
    <t>0603WAF3001T5E</t>
  </si>
  <si>
    <t>C4211</t>
  </si>
  <si>
    <t>22Ω</t>
  </si>
  <si>
    <t>R21, R22, R23, R41, R42, R43</t>
  </si>
  <si>
    <t>0603WAF220JT5E</t>
  </si>
  <si>
    <t>C23345</t>
  </si>
  <si>
    <t>MSK12C02</t>
  </si>
  <si>
    <t>SW1, SW4</t>
  </si>
  <si>
    <t>SW-TH_MSK12C02</t>
  </si>
  <si>
    <t>SHOU HAN(首韩)</t>
  </si>
  <si>
    <t>C431540</t>
  </si>
  <si>
    <t>TS-1088-AR02016</t>
  </si>
  <si>
    <t>SW2, SW3, SW5, SW6</t>
  </si>
  <si>
    <t>SW-SMD_L3.9-W3.0-P4.45</t>
  </si>
  <si>
    <t>XUNPU(讯普)</t>
  </si>
  <si>
    <t>C720477</t>
  </si>
  <si>
    <t>MAX17048G+T10</t>
  </si>
  <si>
    <t>U1, U10</t>
  </si>
  <si>
    <t>TDFN-8_L2.0-W2.0-P0.50-BL-EP1.2</t>
  </si>
  <si>
    <t>ADI(亚德诺)/MAXIM(美信)</t>
  </si>
  <si>
    <t>C2682616</t>
  </si>
  <si>
    <t>TLV75533PDBVR</t>
  </si>
  <si>
    <t>U2, U13</t>
  </si>
  <si>
    <t>SOT-23-5_L3.0-W1.7-P0.95-LS2.8-BR</t>
  </si>
  <si>
    <t>TI(德州仪器)</t>
  </si>
  <si>
    <t>C404027</t>
  </si>
  <si>
    <t>TPS22917DBVR</t>
  </si>
  <si>
    <t>U3, U12</t>
  </si>
  <si>
    <t>C2681320</t>
  </si>
  <si>
    <t>LIS2DE12TR</t>
  </si>
  <si>
    <t>U4, U8</t>
  </si>
  <si>
    <t>LGA-12_L2.0-W2.0-P0.50-BL</t>
  </si>
  <si>
    <t>ST(意法半导体)</t>
  </si>
  <si>
    <t>C155639</t>
  </si>
  <si>
    <t>SMTU2477N-LF</t>
  </si>
  <si>
    <t>U5, U9</t>
  </si>
  <si>
    <t>BAT-SMD_SMTU2477N-LF</t>
  </si>
  <si>
    <t>RENATA(瑞纳达)</t>
  </si>
  <si>
    <t>C3029193</t>
  </si>
  <si>
    <t>LTC4412ES6#TRPBF</t>
  </si>
  <si>
    <t>U6, U11</t>
  </si>
  <si>
    <t>TSOT-23-6_L2.9-W1.6-P0.95-LS2.8-BR</t>
  </si>
  <si>
    <t>ADI(亚德诺)</t>
  </si>
  <si>
    <t>C514442</t>
  </si>
  <si>
    <t>ESP32-C3</t>
  </si>
  <si>
    <t>U7</t>
  </si>
  <si>
    <t>QFN-32_L5.0-W5.0-P0.50-TL-EP3.7</t>
  </si>
  <si>
    <t>ESPRESSIF(乐鑫)</t>
  </si>
  <si>
    <t>C2838500</t>
  </si>
  <si>
    <t>ESP32-C3FH4</t>
  </si>
  <si>
    <t>U14</t>
  </si>
  <si>
    <t>C2858491</t>
  </si>
  <si>
    <t>40MHz</t>
  </si>
  <si>
    <t>X1, X2</t>
  </si>
  <si>
    <t>OSC-SMD_4P-L3.2-W2.5-BL_SIT8008BI</t>
  </si>
  <si>
    <t>X322540MPB4SI</t>
  </si>
  <si>
    <t>YXC(扬兴晶振)</t>
  </si>
  <si>
    <t>C9010</t>
  </si>
  <si>
    <t>Project Title</t>
  </si>
  <si>
    <t>Borard Title</t>
  </si>
  <si>
    <t>Acc_sensor_ZZY_2</t>
  </si>
  <si>
    <t>Schematic Title</t>
  </si>
  <si>
    <t>PCB Title</t>
  </si>
  <si>
    <t>Variant Name</t>
  </si>
  <si>
    <t>Total Quantity</t>
  </si>
  <si>
    <t>Report Time</t>
  </si>
  <si>
    <t>23:57:43</t>
  </si>
  <si>
    <t>Report Date</t>
  </si>
  <si>
    <t>2025年10月21日</t>
  </si>
  <si>
    <t>Report Date&amp;Time</t>
  </si>
  <si>
    <t>2025年10月21日 23:57:43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</si>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</sst>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3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176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176" fontId="1" fillId="3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4</xdr:col>
      <xdr:colOff>0</xdr:colOff>
      <xdr:row>4</xdr:row>
      <xdr:rowOff>105091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485" y="139065"/>
          <a:ext cx="4244340" cy="689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I21" sqref="I21"/>
    </sheetView>
  </sheetViews>
  <sheetFormatPr defaultColWidth="9" defaultRowHeight="14.25" customHeight="1"/>
  <cols>
    <col min="1" max="1" width="16.247619047619" customWidth="1"/>
    <col min="2" max="2" width="17.1238095238095" customWidth="1"/>
    <col min="3" max="3" width="18" customWidth="1"/>
    <col min="4" max="4" width="15.247619047619" customWidth="1"/>
    <col min="5" max="5" width="13.1238095238095" customWidth="1"/>
    <col min="6" max="6" width="13.247619047619" customWidth="1"/>
    <col min="7" max="7" width="14.3714285714286" customWidth="1"/>
    <col min="8" max="8" width="16.8761904761905" customWidth="1"/>
    <col min="9" max="9" width="13.3714285714286" customWidth="1"/>
    <col min="10" max="10" width="14.3714285714286" customWidth="1"/>
    <col min="11" max="11" width="10.247619047619" customWidth="1"/>
    <col min="12" max="12" width="17.1428571428571" customWidth="1"/>
  </cols>
  <sheetData>
    <row r="1" customHeight="1" spans="1:12">
      <c r="A1" s="2" t="s">
        <v>0</v>
      </c>
      <c r="B1" s="2"/>
      <c r="C1" s="2"/>
      <c r="D1" s="2"/>
      <c r="E1" s="3" t="s">
        <v>1</v>
      </c>
      <c r="F1" s="3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9" t="s">
        <v>0</v>
      </c>
    </row>
    <row r="2" customHeight="1" spans="1:12">
      <c r="A2" s="2"/>
      <c r="B2" s="2"/>
      <c r="C2" s="2"/>
      <c r="D2" s="2"/>
      <c r="E2" s="3"/>
      <c r="F2" s="3"/>
      <c r="G2" t="s">
        <v>0</v>
      </c>
      <c r="H2" t="s">
        <v>0</v>
      </c>
      <c r="I2" t="s">
        <v>0</v>
      </c>
      <c r="J2" t="s">
        <v>0</v>
      </c>
      <c r="K2" t="s">
        <v>0</v>
      </c>
      <c r="L2" s="9" t="s">
        <v>0</v>
      </c>
    </row>
    <row r="3" customHeight="1" spans="1:12">
      <c r="A3" s="2"/>
      <c r="B3" s="2"/>
      <c r="C3" s="2"/>
      <c r="D3" s="2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9" t="s">
        <v>0</v>
      </c>
    </row>
    <row r="4" customHeight="1" spans="1:12">
      <c r="A4" s="2"/>
      <c r="B4" s="2"/>
      <c r="C4" s="2"/>
      <c r="D4" s="2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9" t="s">
        <v>0</v>
      </c>
    </row>
    <row r="5" customHeight="1" spans="1:12">
      <c r="A5" s="2"/>
      <c r="B5" s="2"/>
      <c r="C5" s="2"/>
      <c r="D5" s="2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10" t="s">
        <v>0</v>
      </c>
    </row>
    <row r="6" customHeight="1" spans="1:12">
      <c r="A6" s="1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customHeight="1" spans="1:12">
      <c r="A7" s="6">
        <f t="shared" ref="A7:A49" si="0">ROW()-6</f>
        <v>1</v>
      </c>
      <c r="B7" s="7">
        <v>2</v>
      </c>
      <c r="C7" s="7" t="s">
        <v>21</v>
      </c>
      <c r="D7" s="7" t="s">
        <v>22</v>
      </c>
      <c r="E7" s="7" t="s">
        <v>23</v>
      </c>
      <c r="F7" s="7" t="s">
        <v>0</v>
      </c>
      <c r="G7" s="7" t="s">
        <v>21</v>
      </c>
      <c r="H7" s="7" t="s">
        <v>24</v>
      </c>
      <c r="I7" s="7" t="s">
        <v>25</v>
      </c>
      <c r="J7" s="7" t="s">
        <v>26</v>
      </c>
      <c r="K7" s="7" t="s">
        <v>0</v>
      </c>
      <c r="L7" s="11" t="e">
        <f t="shared" ref="L7:L48" si="1">B7*K7</f>
        <v>#VALUE!</v>
      </c>
    </row>
    <row r="8" customHeight="1" spans="1:12">
      <c r="A8" s="6">
        <f t="shared" si="0"/>
        <v>2</v>
      </c>
      <c r="B8" s="7">
        <v>14</v>
      </c>
      <c r="C8" s="7" t="s">
        <v>27</v>
      </c>
      <c r="D8" s="7" t="s">
        <v>28</v>
      </c>
      <c r="E8" s="7" t="s">
        <v>29</v>
      </c>
      <c r="F8" s="7" t="s">
        <v>27</v>
      </c>
      <c r="G8" s="7" t="s">
        <v>30</v>
      </c>
      <c r="H8" s="7" t="s">
        <v>31</v>
      </c>
      <c r="I8" s="7" t="s">
        <v>32</v>
      </c>
      <c r="J8" s="7" t="s">
        <v>26</v>
      </c>
      <c r="K8" s="7" t="s">
        <v>0</v>
      </c>
      <c r="L8" s="11" t="e">
        <f t="shared" si="1"/>
        <v>#VALUE!</v>
      </c>
    </row>
    <row r="9" customHeight="1" spans="1:12">
      <c r="A9" s="6">
        <f t="shared" si="0"/>
        <v>3</v>
      </c>
      <c r="B9" s="7">
        <v>12</v>
      </c>
      <c r="C9" s="7" t="s">
        <v>33</v>
      </c>
      <c r="D9" s="7" t="s">
        <v>34</v>
      </c>
      <c r="E9" s="7" t="s">
        <v>29</v>
      </c>
      <c r="F9" s="7" t="s">
        <v>33</v>
      </c>
      <c r="G9" s="7" t="s">
        <v>35</v>
      </c>
      <c r="H9" s="7" t="s">
        <v>36</v>
      </c>
      <c r="I9" s="7" t="s">
        <v>37</v>
      </c>
      <c r="J9" s="7" t="s">
        <v>26</v>
      </c>
      <c r="K9" s="7" t="s">
        <v>0</v>
      </c>
      <c r="L9" s="11" t="e">
        <f t="shared" si="1"/>
        <v>#VALUE!</v>
      </c>
    </row>
    <row r="10" customHeight="1" spans="1:12">
      <c r="A10" s="6">
        <f t="shared" si="0"/>
        <v>4</v>
      </c>
      <c r="B10" s="7">
        <v>6</v>
      </c>
      <c r="C10" s="7" t="s">
        <v>38</v>
      </c>
      <c r="D10" s="7" t="s">
        <v>39</v>
      </c>
      <c r="E10" s="7" t="s">
        <v>40</v>
      </c>
      <c r="F10" s="7" t="s">
        <v>38</v>
      </c>
      <c r="G10" s="7" t="s">
        <v>41</v>
      </c>
      <c r="H10" s="7" t="s">
        <v>36</v>
      </c>
      <c r="I10" s="7" t="s">
        <v>42</v>
      </c>
      <c r="J10" s="7" t="s">
        <v>26</v>
      </c>
      <c r="K10" s="7" t="s">
        <v>0</v>
      </c>
      <c r="L10" s="11" t="e">
        <f t="shared" si="1"/>
        <v>#VALUE!</v>
      </c>
    </row>
    <row r="11" customHeight="1" spans="1:12">
      <c r="A11" s="6">
        <f t="shared" si="0"/>
        <v>5</v>
      </c>
      <c r="B11" s="7">
        <v>4</v>
      </c>
      <c r="C11" s="7" t="s">
        <v>43</v>
      </c>
      <c r="D11" s="7" t="s">
        <v>44</v>
      </c>
      <c r="E11" s="7" t="s">
        <v>29</v>
      </c>
      <c r="F11" s="7" t="s">
        <v>43</v>
      </c>
      <c r="G11" s="7" t="s">
        <v>45</v>
      </c>
      <c r="H11" s="7" t="s">
        <v>36</v>
      </c>
      <c r="I11" s="7" t="s">
        <v>46</v>
      </c>
      <c r="J11" s="7" t="s">
        <v>26</v>
      </c>
      <c r="K11" s="7" t="s">
        <v>0</v>
      </c>
      <c r="L11" s="11" t="e">
        <f t="shared" si="1"/>
        <v>#VALUE!</v>
      </c>
    </row>
    <row r="12" customHeight="1" spans="1:12">
      <c r="A12" s="6">
        <f t="shared" si="0"/>
        <v>6</v>
      </c>
      <c r="B12" s="7">
        <v>2</v>
      </c>
      <c r="C12" s="7" t="s">
        <v>47</v>
      </c>
      <c r="D12" s="7" t="s">
        <v>48</v>
      </c>
      <c r="E12" s="7" t="s">
        <v>29</v>
      </c>
      <c r="F12" s="7" t="s">
        <v>47</v>
      </c>
      <c r="G12" s="7" t="s">
        <v>49</v>
      </c>
      <c r="H12" s="7" t="s">
        <v>50</v>
      </c>
      <c r="I12" s="7" t="s">
        <v>51</v>
      </c>
      <c r="J12" s="7" t="s">
        <v>26</v>
      </c>
      <c r="K12" s="7" t="s">
        <v>0</v>
      </c>
      <c r="L12" s="11" t="e">
        <f t="shared" si="1"/>
        <v>#VALUE!</v>
      </c>
    </row>
    <row r="13" customHeight="1" spans="1:12">
      <c r="A13" s="6">
        <f t="shared" si="0"/>
        <v>7</v>
      </c>
      <c r="B13" s="7">
        <v>1</v>
      </c>
      <c r="C13" s="7" t="s">
        <v>52</v>
      </c>
      <c r="D13" s="7" t="s">
        <v>53</v>
      </c>
      <c r="E13" s="7" t="s">
        <v>54</v>
      </c>
      <c r="F13" s="7" t="s">
        <v>52</v>
      </c>
      <c r="G13" s="7" t="s">
        <v>55</v>
      </c>
      <c r="H13" s="7" t="s">
        <v>56</v>
      </c>
      <c r="I13" s="7" t="s">
        <v>57</v>
      </c>
      <c r="J13" s="7" t="s">
        <v>26</v>
      </c>
      <c r="K13" s="7" t="s">
        <v>0</v>
      </c>
      <c r="L13" s="11" t="e">
        <f t="shared" si="1"/>
        <v>#VALUE!</v>
      </c>
    </row>
    <row r="14" customHeight="1" spans="1:12">
      <c r="A14" s="6">
        <f t="shared" si="0"/>
        <v>8</v>
      </c>
      <c r="B14" s="7">
        <v>4</v>
      </c>
      <c r="C14" s="7" t="s">
        <v>58</v>
      </c>
      <c r="D14" s="7" t="s">
        <v>59</v>
      </c>
      <c r="E14" s="7" t="s">
        <v>29</v>
      </c>
      <c r="F14" s="7" t="s">
        <v>58</v>
      </c>
      <c r="G14" s="7" t="s">
        <v>60</v>
      </c>
      <c r="H14" s="7" t="s">
        <v>36</v>
      </c>
      <c r="I14" s="7" t="s">
        <v>61</v>
      </c>
      <c r="J14" s="7" t="s">
        <v>26</v>
      </c>
      <c r="K14" s="7" t="s">
        <v>0</v>
      </c>
      <c r="L14" s="11" t="e">
        <f t="shared" si="1"/>
        <v>#VALUE!</v>
      </c>
    </row>
    <row r="15" customHeight="1" spans="1:12">
      <c r="A15" s="6">
        <f t="shared" si="0"/>
        <v>9</v>
      </c>
      <c r="B15" s="7">
        <v>1</v>
      </c>
      <c r="C15" s="7" t="s">
        <v>62</v>
      </c>
      <c r="D15" s="7" t="s">
        <v>63</v>
      </c>
      <c r="E15" s="7" t="s">
        <v>29</v>
      </c>
      <c r="F15" s="7" t="s">
        <v>62</v>
      </c>
      <c r="G15" s="7" t="s">
        <v>45</v>
      </c>
      <c r="H15" s="7" t="s">
        <v>36</v>
      </c>
      <c r="I15" s="7" t="s">
        <v>0</v>
      </c>
      <c r="J15" s="7" t="s">
        <v>26</v>
      </c>
      <c r="K15" s="7" t="s">
        <v>0</v>
      </c>
      <c r="L15" s="11" t="e">
        <f t="shared" si="1"/>
        <v>#VALUE!</v>
      </c>
    </row>
    <row r="16" customHeight="1" spans="1:12">
      <c r="A16" s="6">
        <f t="shared" si="0"/>
        <v>10</v>
      </c>
      <c r="B16" s="7">
        <v>1</v>
      </c>
      <c r="C16" s="7" t="s">
        <v>52</v>
      </c>
      <c r="D16" s="7" t="s">
        <v>64</v>
      </c>
      <c r="E16" s="7" t="s">
        <v>65</v>
      </c>
      <c r="F16" s="7" t="s">
        <v>52</v>
      </c>
      <c r="G16" s="7" t="s">
        <v>55</v>
      </c>
      <c r="H16" s="7" t="s">
        <v>56</v>
      </c>
      <c r="I16" s="7" t="s">
        <v>57</v>
      </c>
      <c r="J16" s="7" t="s">
        <v>26</v>
      </c>
      <c r="K16" s="7" t="s">
        <v>0</v>
      </c>
      <c r="L16" s="11" t="e">
        <f t="shared" si="1"/>
        <v>#VALUE!</v>
      </c>
    </row>
    <row r="17" customHeight="1" spans="1:12">
      <c r="A17" s="6">
        <f t="shared" si="0"/>
        <v>11</v>
      </c>
      <c r="B17" s="7">
        <v>1</v>
      </c>
      <c r="C17" s="7" t="s">
        <v>66</v>
      </c>
      <c r="D17" s="7" t="s">
        <v>67</v>
      </c>
      <c r="E17" s="7" t="s">
        <v>29</v>
      </c>
      <c r="F17" s="7" t="s">
        <v>66</v>
      </c>
      <c r="G17" s="7" t="s">
        <v>68</v>
      </c>
      <c r="H17" s="7" t="s">
        <v>69</v>
      </c>
      <c r="I17" s="7" t="s">
        <v>70</v>
      </c>
      <c r="J17" s="7" t="s">
        <v>26</v>
      </c>
      <c r="K17" s="7" t="s">
        <v>0</v>
      </c>
      <c r="L17" s="11" t="e">
        <f t="shared" si="1"/>
        <v>#VALUE!</v>
      </c>
    </row>
    <row r="18" customHeight="1" spans="1:12">
      <c r="A18" s="6">
        <f t="shared" si="0"/>
        <v>12</v>
      </c>
      <c r="B18" s="7">
        <v>2</v>
      </c>
      <c r="C18" s="7" t="s">
        <v>71</v>
      </c>
      <c r="D18" s="7" t="s">
        <v>72</v>
      </c>
      <c r="E18" s="7" t="s">
        <v>73</v>
      </c>
      <c r="F18" s="7" t="s">
        <v>0</v>
      </c>
      <c r="G18" s="7" t="s">
        <v>71</v>
      </c>
      <c r="H18" s="7" t="s">
        <v>74</v>
      </c>
      <c r="I18" s="7" t="s">
        <v>75</v>
      </c>
      <c r="J18" s="7" t="s">
        <v>26</v>
      </c>
      <c r="K18" s="7" t="s">
        <v>0</v>
      </c>
      <c r="L18" s="11" t="e">
        <f t="shared" si="1"/>
        <v>#VALUE!</v>
      </c>
    </row>
    <row r="19" customHeight="1" spans="1:12">
      <c r="A19" s="6">
        <f t="shared" si="0"/>
        <v>13</v>
      </c>
      <c r="B19" s="7">
        <v>2</v>
      </c>
      <c r="C19" s="7" t="s">
        <v>76</v>
      </c>
      <c r="D19" s="7" t="s">
        <v>77</v>
      </c>
      <c r="E19" s="7" t="s">
        <v>78</v>
      </c>
      <c r="F19" s="7" t="s">
        <v>0</v>
      </c>
      <c r="G19" s="7" t="s">
        <v>76</v>
      </c>
      <c r="H19" s="7" t="s">
        <v>79</v>
      </c>
      <c r="I19" s="7" t="s">
        <v>80</v>
      </c>
      <c r="J19" s="7" t="s">
        <v>26</v>
      </c>
      <c r="K19" s="7" t="s">
        <v>0</v>
      </c>
      <c r="L19" s="11" t="e">
        <f t="shared" si="1"/>
        <v>#VALUE!</v>
      </c>
    </row>
    <row r="20" customHeight="1" spans="1:12">
      <c r="A20" s="6">
        <f t="shared" si="0"/>
        <v>14</v>
      </c>
      <c r="B20" s="7">
        <v>2</v>
      </c>
      <c r="C20" s="7" t="s">
        <v>81</v>
      </c>
      <c r="D20" s="7" t="s">
        <v>82</v>
      </c>
      <c r="E20" s="7" t="s">
        <v>83</v>
      </c>
      <c r="F20" s="7" t="s">
        <v>81</v>
      </c>
      <c r="G20" s="7" t="s">
        <v>84</v>
      </c>
      <c r="H20" s="7" t="s">
        <v>85</v>
      </c>
      <c r="I20" s="7" t="s">
        <v>86</v>
      </c>
      <c r="J20" s="7" t="s">
        <v>26</v>
      </c>
      <c r="K20" s="7" t="s">
        <v>0</v>
      </c>
      <c r="L20" s="11" t="e">
        <f t="shared" si="1"/>
        <v>#VALUE!</v>
      </c>
    </row>
    <row r="21" customHeight="1" spans="1:12">
      <c r="A21" s="6">
        <f t="shared" si="0"/>
        <v>15</v>
      </c>
      <c r="B21" s="7">
        <v>2</v>
      </c>
      <c r="C21" s="7" t="s">
        <v>87</v>
      </c>
      <c r="D21" s="7" t="s">
        <v>88</v>
      </c>
      <c r="E21" s="7" t="s">
        <v>54</v>
      </c>
      <c r="F21" s="7" t="s">
        <v>87</v>
      </c>
      <c r="G21" s="7" t="s">
        <v>89</v>
      </c>
      <c r="H21" s="7" t="s">
        <v>56</v>
      </c>
      <c r="I21" s="7" t="s">
        <v>90</v>
      </c>
      <c r="J21" s="7" t="s">
        <v>26</v>
      </c>
      <c r="K21" s="7" t="s">
        <v>0</v>
      </c>
      <c r="L21" s="11" t="e">
        <f t="shared" si="1"/>
        <v>#VALUE!</v>
      </c>
    </row>
    <row r="22" customHeight="1" spans="1:12">
      <c r="A22" s="6">
        <f t="shared" si="0"/>
        <v>16</v>
      </c>
      <c r="B22" s="7">
        <v>2</v>
      </c>
      <c r="C22" s="7" t="s">
        <v>91</v>
      </c>
      <c r="D22" s="7" t="s">
        <v>92</v>
      </c>
      <c r="E22" s="7" t="s">
        <v>54</v>
      </c>
      <c r="F22" s="7" t="s">
        <v>91</v>
      </c>
      <c r="G22" s="7" t="s">
        <v>93</v>
      </c>
      <c r="H22" s="7" t="s">
        <v>56</v>
      </c>
      <c r="I22" s="7" t="s">
        <v>94</v>
      </c>
      <c r="J22" s="7" t="s">
        <v>26</v>
      </c>
      <c r="K22" s="7" t="s">
        <v>0</v>
      </c>
      <c r="L22" s="11" t="e">
        <f t="shared" si="1"/>
        <v>#VALUE!</v>
      </c>
    </row>
    <row r="23" customHeight="1" spans="1:12">
      <c r="A23" s="6">
        <f t="shared" si="0"/>
        <v>17</v>
      </c>
      <c r="B23" s="7">
        <v>1</v>
      </c>
      <c r="C23" s="7" t="s">
        <v>62</v>
      </c>
      <c r="D23" s="7" t="s">
        <v>95</v>
      </c>
      <c r="E23" s="7" t="s">
        <v>83</v>
      </c>
      <c r="F23" s="7" t="s">
        <v>62</v>
      </c>
      <c r="G23" s="7" t="s">
        <v>84</v>
      </c>
      <c r="H23" s="7" t="s">
        <v>85</v>
      </c>
      <c r="I23" s="7" t="s">
        <v>0</v>
      </c>
      <c r="J23" s="7" t="s">
        <v>26</v>
      </c>
      <c r="K23" s="7" t="s">
        <v>0</v>
      </c>
      <c r="L23" s="11" t="e">
        <f t="shared" si="1"/>
        <v>#VALUE!</v>
      </c>
    </row>
    <row r="24" customHeight="1" spans="1:12">
      <c r="A24" s="6">
        <f t="shared" si="0"/>
        <v>18</v>
      </c>
      <c r="B24" s="7">
        <v>1</v>
      </c>
      <c r="C24" s="7" t="s">
        <v>96</v>
      </c>
      <c r="D24" s="7" t="s">
        <v>97</v>
      </c>
      <c r="E24" s="7" t="s">
        <v>83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11" t="e">
        <f t="shared" si="1"/>
        <v>#VALUE!</v>
      </c>
    </row>
    <row r="25" customHeight="1" spans="1:12">
      <c r="A25" s="6">
        <f t="shared" si="0"/>
        <v>19</v>
      </c>
      <c r="B25" s="7">
        <v>6</v>
      </c>
      <c r="C25" s="7" t="s">
        <v>98</v>
      </c>
      <c r="D25" s="7" t="s">
        <v>99</v>
      </c>
      <c r="E25" s="7" t="s">
        <v>100</v>
      </c>
      <c r="F25" s="7" t="s">
        <v>0</v>
      </c>
      <c r="G25" s="7" t="s">
        <v>98</v>
      </c>
      <c r="H25" s="7" t="s">
        <v>101</v>
      </c>
      <c r="I25" s="7" t="s">
        <v>102</v>
      </c>
      <c r="J25" s="7" t="s">
        <v>26</v>
      </c>
      <c r="K25" s="7" t="s">
        <v>0</v>
      </c>
      <c r="L25" s="11" t="e">
        <f t="shared" si="1"/>
        <v>#VALUE!</v>
      </c>
    </row>
    <row r="26" customHeight="1" spans="1:12">
      <c r="A26" s="6">
        <f t="shared" si="0"/>
        <v>20</v>
      </c>
      <c r="B26" s="7">
        <v>2</v>
      </c>
      <c r="C26" s="7" t="s">
        <v>103</v>
      </c>
      <c r="D26" s="7" t="s">
        <v>104</v>
      </c>
      <c r="E26" s="7" t="s">
        <v>105</v>
      </c>
      <c r="F26" s="7" t="s">
        <v>0</v>
      </c>
      <c r="G26" s="7" t="s">
        <v>103</v>
      </c>
      <c r="H26" s="7" t="s">
        <v>106</v>
      </c>
      <c r="I26" s="7" t="s">
        <v>107</v>
      </c>
      <c r="J26" s="7" t="s">
        <v>26</v>
      </c>
      <c r="K26" s="7" t="s">
        <v>0</v>
      </c>
      <c r="L26" s="11" t="e">
        <f t="shared" si="1"/>
        <v>#VALUE!</v>
      </c>
    </row>
    <row r="27" customHeight="1" spans="1:12">
      <c r="A27" s="6">
        <f t="shared" si="0"/>
        <v>21</v>
      </c>
      <c r="B27" s="7">
        <v>2</v>
      </c>
      <c r="C27" s="7" t="s">
        <v>108</v>
      </c>
      <c r="D27" s="7" t="s">
        <v>109</v>
      </c>
      <c r="E27" s="7" t="s">
        <v>110</v>
      </c>
      <c r="F27" s="7" t="s">
        <v>0</v>
      </c>
      <c r="G27" s="7" t="s">
        <v>108</v>
      </c>
      <c r="H27" s="7" t="s">
        <v>111</v>
      </c>
      <c r="I27" s="7" t="s">
        <v>112</v>
      </c>
      <c r="J27" s="7" t="s">
        <v>26</v>
      </c>
      <c r="K27" s="7" t="s">
        <v>0</v>
      </c>
      <c r="L27" s="11" t="e">
        <f t="shared" si="1"/>
        <v>#VALUE!</v>
      </c>
    </row>
    <row r="28" customHeight="1" spans="1:12">
      <c r="A28" s="6">
        <f t="shared" si="0"/>
        <v>22</v>
      </c>
      <c r="B28" s="7">
        <v>2</v>
      </c>
      <c r="C28" s="7" t="s">
        <v>113</v>
      </c>
      <c r="D28" s="7" t="s">
        <v>114</v>
      </c>
      <c r="E28" s="7" t="s">
        <v>110</v>
      </c>
      <c r="F28" s="7" t="s">
        <v>0</v>
      </c>
      <c r="G28" s="7" t="s">
        <v>113</v>
      </c>
      <c r="H28" s="7" t="s">
        <v>115</v>
      </c>
      <c r="I28" s="7" t="s">
        <v>116</v>
      </c>
      <c r="J28" s="7" t="s">
        <v>26</v>
      </c>
      <c r="K28" s="7" t="s">
        <v>0</v>
      </c>
      <c r="L28" s="11" t="e">
        <f t="shared" si="1"/>
        <v>#VALUE!</v>
      </c>
    </row>
    <row r="29" customHeight="1" spans="1:12">
      <c r="A29" s="6">
        <f t="shared" si="0"/>
        <v>23</v>
      </c>
      <c r="B29" s="7">
        <v>14</v>
      </c>
      <c r="C29" s="7" t="s">
        <v>117</v>
      </c>
      <c r="D29" s="7" t="s">
        <v>118</v>
      </c>
      <c r="E29" s="7" t="s">
        <v>119</v>
      </c>
      <c r="F29" s="7" t="s">
        <v>117</v>
      </c>
      <c r="G29" s="7" t="s">
        <v>120</v>
      </c>
      <c r="H29" s="7" t="s">
        <v>69</v>
      </c>
      <c r="I29" s="7" t="s">
        <v>121</v>
      </c>
      <c r="J29" s="7" t="s">
        <v>26</v>
      </c>
      <c r="K29" s="7" t="s">
        <v>0</v>
      </c>
      <c r="L29" s="11" t="e">
        <f t="shared" si="1"/>
        <v>#VALUE!</v>
      </c>
    </row>
    <row r="30" customHeight="1" spans="1:12">
      <c r="A30" s="6">
        <f t="shared" si="0"/>
        <v>24</v>
      </c>
      <c r="B30" s="7">
        <v>2</v>
      </c>
      <c r="C30" s="7" t="s">
        <v>122</v>
      </c>
      <c r="D30" s="7" t="s">
        <v>123</v>
      </c>
      <c r="E30" s="7" t="s">
        <v>119</v>
      </c>
      <c r="F30" s="7" t="s">
        <v>122</v>
      </c>
      <c r="G30" s="7" t="s">
        <v>124</v>
      </c>
      <c r="H30" s="7" t="s">
        <v>69</v>
      </c>
      <c r="I30" s="7" t="s">
        <v>125</v>
      </c>
      <c r="J30" s="7" t="s">
        <v>26</v>
      </c>
      <c r="K30" s="7" t="s">
        <v>0</v>
      </c>
      <c r="L30" s="11" t="e">
        <f t="shared" si="1"/>
        <v>#VALUE!</v>
      </c>
    </row>
    <row r="31" customHeight="1" spans="1:12">
      <c r="A31" s="6">
        <f t="shared" si="0"/>
        <v>25</v>
      </c>
      <c r="B31" s="7">
        <v>2</v>
      </c>
      <c r="C31" s="7" t="s">
        <v>126</v>
      </c>
      <c r="D31" s="7" t="s">
        <v>127</v>
      </c>
      <c r="E31" s="7" t="s">
        <v>119</v>
      </c>
      <c r="F31" s="7" t="s">
        <v>126</v>
      </c>
      <c r="G31" s="7" t="s">
        <v>128</v>
      </c>
      <c r="H31" s="7" t="s">
        <v>69</v>
      </c>
      <c r="I31" s="7" t="s">
        <v>129</v>
      </c>
      <c r="J31" s="7" t="s">
        <v>26</v>
      </c>
      <c r="K31" s="7" t="s">
        <v>0</v>
      </c>
      <c r="L31" s="11" t="e">
        <f t="shared" si="1"/>
        <v>#VALUE!</v>
      </c>
    </row>
    <row r="32" customHeight="1" spans="1:12">
      <c r="A32" s="6">
        <f t="shared" si="0"/>
        <v>26</v>
      </c>
      <c r="B32" s="7">
        <v>2</v>
      </c>
      <c r="C32" s="7" t="s">
        <v>130</v>
      </c>
      <c r="D32" s="7" t="s">
        <v>131</v>
      </c>
      <c r="E32" s="7" t="s">
        <v>119</v>
      </c>
      <c r="F32" s="7" t="s">
        <v>130</v>
      </c>
      <c r="G32" s="7" t="s">
        <v>132</v>
      </c>
      <c r="H32" s="7" t="s">
        <v>69</v>
      </c>
      <c r="I32" s="7" t="s">
        <v>133</v>
      </c>
      <c r="J32" s="7" t="s">
        <v>26</v>
      </c>
      <c r="K32" s="7" t="s">
        <v>0</v>
      </c>
      <c r="L32" s="11" t="e">
        <f t="shared" si="1"/>
        <v>#VALUE!</v>
      </c>
    </row>
    <row r="33" customHeight="1" spans="1:12">
      <c r="A33" s="6">
        <f t="shared" si="0"/>
        <v>27</v>
      </c>
      <c r="B33" s="7">
        <v>6</v>
      </c>
      <c r="C33" s="7" t="s">
        <v>134</v>
      </c>
      <c r="D33" s="7" t="s">
        <v>135</v>
      </c>
      <c r="E33" s="7" t="s">
        <v>119</v>
      </c>
      <c r="F33" s="7" t="s">
        <v>134</v>
      </c>
      <c r="G33" s="7" t="s">
        <v>136</v>
      </c>
      <c r="H33" s="7" t="s">
        <v>69</v>
      </c>
      <c r="I33" s="7" t="s">
        <v>137</v>
      </c>
      <c r="J33" s="7" t="s">
        <v>26</v>
      </c>
      <c r="K33" s="7" t="s">
        <v>0</v>
      </c>
      <c r="L33" s="11" t="e">
        <f t="shared" si="1"/>
        <v>#VALUE!</v>
      </c>
    </row>
    <row r="34" customHeight="1" spans="1:12">
      <c r="A34" s="6">
        <f t="shared" si="0"/>
        <v>28</v>
      </c>
      <c r="B34" s="7">
        <v>2</v>
      </c>
      <c r="C34" s="7" t="s">
        <v>66</v>
      </c>
      <c r="D34" s="7" t="s">
        <v>138</v>
      </c>
      <c r="E34" s="7" t="s">
        <v>119</v>
      </c>
      <c r="F34" s="7" t="s">
        <v>66</v>
      </c>
      <c r="G34" s="7" t="s">
        <v>68</v>
      </c>
      <c r="H34" s="7" t="s">
        <v>69</v>
      </c>
      <c r="I34" s="7" t="s">
        <v>70</v>
      </c>
      <c r="J34" s="7" t="s">
        <v>26</v>
      </c>
      <c r="K34" s="7" t="s">
        <v>0</v>
      </c>
      <c r="L34" s="11" t="e">
        <f t="shared" si="1"/>
        <v>#VALUE!</v>
      </c>
    </row>
    <row r="35" customHeight="1" spans="1:12">
      <c r="A35" s="6">
        <f t="shared" si="0"/>
        <v>29</v>
      </c>
      <c r="B35" s="7">
        <v>4</v>
      </c>
      <c r="C35" s="7" t="s">
        <v>139</v>
      </c>
      <c r="D35" s="7" t="s">
        <v>140</v>
      </c>
      <c r="E35" s="7" t="s">
        <v>119</v>
      </c>
      <c r="F35" s="7" t="s">
        <v>139</v>
      </c>
      <c r="G35" s="7" t="s">
        <v>141</v>
      </c>
      <c r="H35" s="7" t="s">
        <v>69</v>
      </c>
      <c r="I35" s="7" t="s">
        <v>142</v>
      </c>
      <c r="J35" s="7" t="s">
        <v>26</v>
      </c>
      <c r="K35" s="7" t="s">
        <v>0</v>
      </c>
      <c r="L35" s="11" t="e">
        <f t="shared" si="1"/>
        <v>#VALUE!</v>
      </c>
    </row>
    <row r="36" customHeight="1" spans="1:12">
      <c r="A36" s="6">
        <f t="shared" si="0"/>
        <v>30</v>
      </c>
      <c r="B36" s="7">
        <v>2</v>
      </c>
      <c r="C36" s="7" t="s">
        <v>143</v>
      </c>
      <c r="D36" s="7" t="s">
        <v>144</v>
      </c>
      <c r="E36" s="7" t="s">
        <v>119</v>
      </c>
      <c r="F36" s="7" t="s">
        <v>143</v>
      </c>
      <c r="G36" s="7" t="s">
        <v>145</v>
      </c>
      <c r="H36" s="7" t="s">
        <v>69</v>
      </c>
      <c r="I36" s="7" t="s">
        <v>146</v>
      </c>
      <c r="J36" s="7" t="s">
        <v>26</v>
      </c>
      <c r="K36" s="7" t="s">
        <v>0</v>
      </c>
      <c r="L36" s="11" t="e">
        <f t="shared" si="1"/>
        <v>#VALUE!</v>
      </c>
    </row>
    <row r="37" customHeight="1" spans="1:12">
      <c r="A37" s="6">
        <f t="shared" si="0"/>
        <v>31</v>
      </c>
      <c r="B37" s="7">
        <v>6</v>
      </c>
      <c r="C37" s="7" t="s">
        <v>147</v>
      </c>
      <c r="D37" s="7" t="s">
        <v>148</v>
      </c>
      <c r="E37" s="7" t="s">
        <v>119</v>
      </c>
      <c r="F37" s="7" t="s">
        <v>147</v>
      </c>
      <c r="G37" s="7" t="s">
        <v>149</v>
      </c>
      <c r="H37" s="7" t="s">
        <v>69</v>
      </c>
      <c r="I37" s="7" t="s">
        <v>150</v>
      </c>
      <c r="J37" s="7" t="s">
        <v>26</v>
      </c>
      <c r="K37" s="7" t="s">
        <v>0</v>
      </c>
      <c r="L37" s="11" t="e">
        <f t="shared" si="1"/>
        <v>#VALUE!</v>
      </c>
    </row>
    <row r="38" customHeight="1" spans="1:12">
      <c r="A38" s="6">
        <f t="shared" si="0"/>
        <v>32</v>
      </c>
      <c r="B38" s="7">
        <v>2</v>
      </c>
      <c r="C38" s="7" t="s">
        <v>151</v>
      </c>
      <c r="D38" s="7" t="s">
        <v>152</v>
      </c>
      <c r="E38" s="7" t="s">
        <v>153</v>
      </c>
      <c r="F38" s="7" t="s">
        <v>0</v>
      </c>
      <c r="G38" s="7" t="s">
        <v>151</v>
      </c>
      <c r="H38" s="7" t="s">
        <v>154</v>
      </c>
      <c r="I38" s="7" t="s">
        <v>155</v>
      </c>
      <c r="J38" s="7" t="s">
        <v>26</v>
      </c>
      <c r="K38" s="7" t="s">
        <v>0</v>
      </c>
      <c r="L38" s="11" t="e">
        <f t="shared" si="1"/>
        <v>#VALUE!</v>
      </c>
    </row>
    <row r="39" customHeight="1" spans="1:12">
      <c r="A39" s="6">
        <f t="shared" si="0"/>
        <v>33</v>
      </c>
      <c r="B39" s="7">
        <v>4</v>
      </c>
      <c r="C39" s="7" t="s">
        <v>156</v>
      </c>
      <c r="D39" s="7" t="s">
        <v>157</v>
      </c>
      <c r="E39" s="7" t="s">
        <v>158</v>
      </c>
      <c r="F39" s="7" t="s">
        <v>0</v>
      </c>
      <c r="G39" s="7" t="s">
        <v>156</v>
      </c>
      <c r="H39" s="7" t="s">
        <v>159</v>
      </c>
      <c r="I39" s="7" t="s">
        <v>160</v>
      </c>
      <c r="J39" s="7" t="s">
        <v>26</v>
      </c>
      <c r="K39" s="7" t="s">
        <v>0</v>
      </c>
      <c r="L39" s="11" t="e">
        <f t="shared" si="1"/>
        <v>#VALUE!</v>
      </c>
    </row>
    <row r="40" customHeight="1" spans="1:12">
      <c r="A40" s="6">
        <f t="shared" si="0"/>
        <v>34</v>
      </c>
      <c r="B40" s="7">
        <v>2</v>
      </c>
      <c r="C40" s="7" t="s">
        <v>161</v>
      </c>
      <c r="D40" s="7" t="s">
        <v>162</v>
      </c>
      <c r="E40" s="7" t="s">
        <v>163</v>
      </c>
      <c r="F40" s="7" t="s">
        <v>0</v>
      </c>
      <c r="G40" s="7" t="s">
        <v>161</v>
      </c>
      <c r="H40" s="7" t="s">
        <v>164</v>
      </c>
      <c r="I40" s="7" t="s">
        <v>165</v>
      </c>
      <c r="J40" s="7" t="s">
        <v>26</v>
      </c>
      <c r="K40" s="7" t="s">
        <v>0</v>
      </c>
      <c r="L40" s="11" t="e">
        <f t="shared" si="1"/>
        <v>#VALUE!</v>
      </c>
    </row>
    <row r="41" customHeight="1" spans="1:12">
      <c r="A41" s="6">
        <f t="shared" si="0"/>
        <v>35</v>
      </c>
      <c r="B41" s="7">
        <v>2</v>
      </c>
      <c r="C41" s="7" t="s">
        <v>166</v>
      </c>
      <c r="D41" s="7" t="s">
        <v>167</v>
      </c>
      <c r="E41" s="7" t="s">
        <v>168</v>
      </c>
      <c r="F41" s="7" t="s">
        <v>0</v>
      </c>
      <c r="G41" s="7" t="s">
        <v>166</v>
      </c>
      <c r="H41" s="7" t="s">
        <v>169</v>
      </c>
      <c r="I41" s="7" t="s">
        <v>170</v>
      </c>
      <c r="J41" s="7" t="s">
        <v>26</v>
      </c>
      <c r="K41" s="7" t="s">
        <v>0</v>
      </c>
      <c r="L41" s="11" t="e">
        <f t="shared" si="1"/>
        <v>#VALUE!</v>
      </c>
    </row>
    <row r="42" customHeight="1" spans="1:12">
      <c r="A42" s="6">
        <f t="shared" si="0"/>
        <v>36</v>
      </c>
      <c r="B42" s="7">
        <v>2</v>
      </c>
      <c r="C42" s="7" t="s">
        <v>171</v>
      </c>
      <c r="D42" s="7" t="s">
        <v>172</v>
      </c>
      <c r="E42" s="7" t="s">
        <v>110</v>
      </c>
      <c r="F42" s="7" t="s">
        <v>0</v>
      </c>
      <c r="G42" s="7" t="s">
        <v>171</v>
      </c>
      <c r="H42" s="7" t="s">
        <v>169</v>
      </c>
      <c r="I42" s="7" t="s">
        <v>173</v>
      </c>
      <c r="J42" s="7" t="s">
        <v>26</v>
      </c>
      <c r="K42" s="7" t="s">
        <v>0</v>
      </c>
      <c r="L42" s="11" t="e">
        <f t="shared" si="1"/>
        <v>#VALUE!</v>
      </c>
    </row>
    <row r="43" customHeight="1" spans="1:12">
      <c r="A43" s="6">
        <f t="shared" si="0"/>
        <v>37</v>
      </c>
      <c r="B43" s="7">
        <v>2</v>
      </c>
      <c r="C43" s="7" t="s">
        <v>174</v>
      </c>
      <c r="D43" s="7" t="s">
        <v>175</v>
      </c>
      <c r="E43" s="7" t="s">
        <v>176</v>
      </c>
      <c r="F43" s="7" t="s">
        <v>0</v>
      </c>
      <c r="G43" s="7" t="s">
        <v>174</v>
      </c>
      <c r="H43" s="7" t="s">
        <v>177</v>
      </c>
      <c r="I43" s="7" t="s">
        <v>178</v>
      </c>
      <c r="J43" s="7" t="s">
        <v>26</v>
      </c>
      <c r="K43" s="7" t="s">
        <v>0</v>
      </c>
      <c r="L43" s="11" t="e">
        <f t="shared" si="1"/>
        <v>#VALUE!</v>
      </c>
    </row>
    <row r="44" customHeight="1" spans="1:12">
      <c r="A44" s="6">
        <f t="shared" si="0"/>
        <v>38</v>
      </c>
      <c r="B44" s="7">
        <v>2</v>
      </c>
      <c r="C44" s="7" t="s">
        <v>179</v>
      </c>
      <c r="D44" s="7" t="s">
        <v>180</v>
      </c>
      <c r="E44" s="7" t="s">
        <v>181</v>
      </c>
      <c r="F44" s="7" t="s">
        <v>0</v>
      </c>
      <c r="G44" s="7" t="s">
        <v>179</v>
      </c>
      <c r="H44" s="7" t="s">
        <v>182</v>
      </c>
      <c r="I44" s="7" t="s">
        <v>183</v>
      </c>
      <c r="J44" s="7" t="s">
        <v>26</v>
      </c>
      <c r="K44" s="7" t="s">
        <v>0</v>
      </c>
      <c r="L44" s="11" t="e">
        <f t="shared" si="1"/>
        <v>#VALUE!</v>
      </c>
    </row>
    <row r="45" customHeight="1" spans="1:12">
      <c r="A45" s="6">
        <f t="shared" si="0"/>
        <v>39</v>
      </c>
      <c r="B45" s="7">
        <v>2</v>
      </c>
      <c r="C45" s="7" t="s">
        <v>184</v>
      </c>
      <c r="D45" s="7" t="s">
        <v>185</v>
      </c>
      <c r="E45" s="7" t="s">
        <v>186</v>
      </c>
      <c r="F45" s="7" t="s">
        <v>0</v>
      </c>
      <c r="G45" s="7" t="s">
        <v>184</v>
      </c>
      <c r="H45" s="7" t="s">
        <v>187</v>
      </c>
      <c r="I45" s="7" t="s">
        <v>188</v>
      </c>
      <c r="J45" s="7" t="s">
        <v>26</v>
      </c>
      <c r="K45" s="7" t="s">
        <v>0</v>
      </c>
      <c r="L45" s="11" t="e">
        <f t="shared" si="1"/>
        <v>#VALUE!</v>
      </c>
    </row>
    <row r="46" customHeight="1" spans="1:12">
      <c r="A46" s="6">
        <f t="shared" si="0"/>
        <v>40</v>
      </c>
      <c r="B46" s="7">
        <v>1</v>
      </c>
      <c r="C46" s="7" t="s">
        <v>189</v>
      </c>
      <c r="D46" s="7" t="s">
        <v>190</v>
      </c>
      <c r="E46" s="7" t="s">
        <v>191</v>
      </c>
      <c r="F46" s="7" t="s">
        <v>0</v>
      </c>
      <c r="G46" s="7" t="s">
        <v>189</v>
      </c>
      <c r="H46" s="7" t="s">
        <v>192</v>
      </c>
      <c r="I46" s="7" t="s">
        <v>193</v>
      </c>
      <c r="J46" s="7" t="s">
        <v>26</v>
      </c>
      <c r="K46" s="7" t="s">
        <v>0</v>
      </c>
      <c r="L46" s="11" t="e">
        <f t="shared" si="1"/>
        <v>#VALUE!</v>
      </c>
    </row>
    <row r="47" customHeight="1" spans="1:12">
      <c r="A47" s="6">
        <f t="shared" si="0"/>
        <v>41</v>
      </c>
      <c r="B47" s="7">
        <v>1</v>
      </c>
      <c r="C47" s="7" t="s">
        <v>194</v>
      </c>
      <c r="D47" s="7" t="s">
        <v>195</v>
      </c>
      <c r="E47" s="7" t="s">
        <v>191</v>
      </c>
      <c r="F47" s="7" t="s">
        <v>0</v>
      </c>
      <c r="G47" s="7" t="s">
        <v>194</v>
      </c>
      <c r="H47" s="7" t="s">
        <v>192</v>
      </c>
      <c r="I47" s="7" t="s">
        <v>196</v>
      </c>
      <c r="J47" s="7" t="s">
        <v>26</v>
      </c>
      <c r="K47" s="7" t="s">
        <v>0</v>
      </c>
      <c r="L47" s="11" t="e">
        <f t="shared" si="1"/>
        <v>#VALUE!</v>
      </c>
    </row>
    <row r="48" customHeight="1" spans="1:12">
      <c r="A48" s="6">
        <f t="shared" si="0"/>
        <v>42</v>
      </c>
      <c r="B48" s="7">
        <v>2</v>
      </c>
      <c r="C48" s="7" t="s">
        <v>197</v>
      </c>
      <c r="D48" s="7" t="s">
        <v>198</v>
      </c>
      <c r="E48" s="7" t="s">
        <v>199</v>
      </c>
      <c r="F48" s="7" t="s">
        <v>197</v>
      </c>
      <c r="G48" s="7" t="s">
        <v>200</v>
      </c>
      <c r="H48" s="7" t="s">
        <v>201</v>
      </c>
      <c r="I48" s="7" t="s">
        <v>202</v>
      </c>
      <c r="J48" s="7" t="s">
        <v>26</v>
      </c>
      <c r="K48" s="7" t="s">
        <v>0</v>
      </c>
      <c r="L48" s="11" t="e">
        <f t="shared" si="1"/>
        <v>#VALUE!</v>
      </c>
    </row>
    <row r="49" customHeight="1" spans="1:12">
      <c r="A49" s="6">
        <f t="shared" si="0"/>
        <v>43</v>
      </c>
      <c r="B49" s="8" t="e">
        <f>SUM(L7:L48)</f>
        <v>#VALUE!</v>
      </c>
      <c r="C49" s="8"/>
      <c r="D49" s="8"/>
      <c r="E49" s="8"/>
      <c r="F49" s="8"/>
      <c r="G49" s="8"/>
      <c r="H49" s="8"/>
      <c r="I49" s="8"/>
      <c r="J49" s="8"/>
      <c r="K49" s="8"/>
      <c r="L49" s="8"/>
    </row>
  </sheetData>
  <mergeCells count="4">
    <mergeCell ref="B49:L49"/>
    <mergeCell ref="E1:E2"/>
    <mergeCell ref="F1:F2"/>
    <mergeCell ref="A1:D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25" customHeight="1" outlineLevelCol="1"/>
  <cols>
    <col min="1" max="1" width="23.6285714285714" customWidth="1"/>
    <col min="2" max="2" width="57.5047619047619" customWidth="1"/>
  </cols>
  <sheetData>
    <row r="1" customHeight="1" spans="1:2">
      <c r="A1" s="1" t="s">
        <v>203</v>
      </c>
      <c r="B1" s="1" t="s">
        <v>4</v>
      </c>
    </row>
    <row r="2" customHeight="1" spans="1:2">
      <c r="A2" s="1" t="s">
        <v>204</v>
      </c>
      <c r="B2" s="1" t="s">
        <v>205</v>
      </c>
    </row>
    <row r="3" customHeight="1" spans="1:2">
      <c r="A3" s="1" t="s">
        <v>206</v>
      </c>
      <c r="B3" s="1" t="s">
        <v>205</v>
      </c>
    </row>
    <row r="4" customHeight="1" spans="1:2">
      <c r="A4" s="1" t="s">
        <v>207</v>
      </c>
      <c r="B4" s="1" t="s">
        <v>6</v>
      </c>
    </row>
    <row r="5" customHeight="1" spans="1:2">
      <c r="A5" s="1" t="s">
        <v>208</v>
      </c>
      <c r="B5" s="1" t="s">
        <v>6</v>
      </c>
    </row>
    <row r="6" customHeight="1" spans="1:2">
      <c r="A6" s="1" t="s">
        <v>209</v>
      </c>
      <c r="B6" s="1">
        <v>134</v>
      </c>
    </row>
    <row r="7" customHeight="1" spans="1:2">
      <c r="A7" s="1" t="s">
        <v>210</v>
      </c>
      <c r="B7" s="1" t="s">
        <v>211</v>
      </c>
    </row>
    <row r="8" customHeight="1" spans="1:2">
      <c r="A8" s="1" t="s">
        <v>212</v>
      </c>
      <c r="B8" s="1" t="s">
        <v>213</v>
      </c>
    </row>
    <row r="9" customHeight="1" spans="1:2">
      <c r="A9" s="1" t="s">
        <v>214</v>
      </c>
      <c r="B9" s="1" t="s">
        <v>215</v>
      </c>
    </row>
    <row r="10" customHeight="1" spans="1:2">
      <c r="A10" s="1" t="s">
        <v>216</v>
      </c>
      <c r="B10" s="1" t="s">
        <v>2</v>
      </c>
    </row>
    <row r="11" customHeight="1" spans="1:2">
      <c r="A11" s="1" t="s">
        <v>217</v>
      </c>
      <c r="B11" s="1" t="s">
        <v>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hang z (Mazi)</cp:lastModifiedBy>
  <dcterms:created xsi:type="dcterms:W3CDTF">2024-08-02T02:42:00Z</dcterms:created>
  <dcterms:modified xsi:type="dcterms:W3CDTF">2025-10-21T22:59:12Z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B413547739C54163AE076E0925F3335B_12</vt:lpwstr>
  </property>
  <property fmtid="{D5CDD505-2E9C-101B-9397-08002B2CF9AE}" pid="3" name="KSOProductBuildVer">
    <vt:lpwstr>1033-12.2.0.23131</vt:lpwstr>
  </property>
</Properties>
</file>